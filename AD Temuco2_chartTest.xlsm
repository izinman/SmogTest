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filterPrivacy="1" codeName="ThisWorkbook" defaultThemeVersion="124226"/>
  <bookViews>
    <workbookView xWindow="240" yWindow="108" windowWidth="14808" windowHeight="8016" xr2:uid="{00000000-000D-0000-FFFF-FFFF00000000}"/>
  </bookViews>
  <sheets>
    <sheet name="Hoja1" sheetId="1" r:id="rId1"/>
    <sheet name="Hoja2" sheetId="2" r:id="rId2"/>
    <sheet name="Hoja3" sheetId="3" r:id="rId3"/>
  </sheets>
  <calcPr calcId="171027"/>
</workbook>
</file>

<file path=xl/calcChain.xml><?xml version="1.0" encoding="utf-8"?>
<calcChain xmlns="http://schemas.openxmlformats.org/spreadsheetml/2006/main">
  <c r="C13" i="2" l="1"/>
  <c r="B6" i="2"/>
  <c r="C3" i="2" l="1"/>
  <c r="C14" i="2"/>
  <c r="C12" i="2"/>
  <c r="C11" i="2"/>
  <c r="C10" i="2"/>
  <c r="C9" i="2"/>
  <c r="C8" i="2"/>
  <c r="C6" i="2"/>
  <c r="C5" i="2"/>
  <c r="C4" i="2"/>
  <c r="C2" i="2"/>
  <c r="B3" i="2"/>
  <c r="B4" i="2"/>
  <c r="E4" i="2" s="1"/>
  <c r="B5" i="2"/>
  <c r="E5" i="2" s="1"/>
  <c r="E6" i="2"/>
  <c r="B8" i="2"/>
  <c r="E8" i="2" s="1"/>
  <c r="B9" i="2"/>
  <c r="E9" i="2" s="1"/>
  <c r="B10" i="2"/>
  <c r="E10" i="2" s="1"/>
  <c r="B11" i="2"/>
  <c r="E11" i="2" s="1"/>
  <c r="B12" i="2"/>
  <c r="E12" i="2" s="1"/>
  <c r="B13" i="2"/>
  <c r="E13" i="2" s="1"/>
  <c r="B14" i="2"/>
  <c r="B2" i="2"/>
  <c r="E2" i="2" s="1"/>
  <c r="F14" i="2" l="1"/>
  <c r="F3" i="2"/>
  <c r="E3" i="2"/>
  <c r="F12" i="2"/>
  <c r="F9" i="2"/>
  <c r="F4" i="2"/>
  <c r="F11" i="2"/>
  <c r="F10" i="2"/>
  <c r="E14" i="2"/>
  <c r="F8" i="2"/>
  <c r="F6" i="2"/>
  <c r="F13" i="2"/>
  <c r="F5" i="2"/>
  <c r="F2" i="2"/>
</calcChain>
</file>

<file path=xl/sharedStrings.xml><?xml version="1.0" encoding="utf-8"?>
<sst xmlns="http://schemas.openxmlformats.org/spreadsheetml/2006/main" count="91" uniqueCount="82">
  <si>
    <t>ID</t>
  </si>
  <si>
    <t>BZBFLU</t>
  </si>
  <si>
    <t>BZBFLUU</t>
  </si>
  <si>
    <t>BZKFLU</t>
  </si>
  <si>
    <t>BZKFLUU</t>
  </si>
  <si>
    <t>BZEPYR</t>
  </si>
  <si>
    <t>BZEPYRU</t>
  </si>
  <si>
    <t>INDPYR</t>
  </si>
  <si>
    <t>INDPYRU</t>
  </si>
  <si>
    <t>BZGHPL</t>
  </si>
  <si>
    <t>BZGHPLU</t>
  </si>
  <si>
    <t>PICENE</t>
  </si>
  <si>
    <t>PICENEU</t>
  </si>
  <si>
    <t>TNOHO</t>
  </si>
  <si>
    <t>TNOHOU</t>
  </si>
  <si>
    <t>B17NHO</t>
  </si>
  <si>
    <t>B17NHOU</t>
  </si>
  <si>
    <t>A17HOP</t>
  </si>
  <si>
    <t>A17HOPU</t>
  </si>
  <si>
    <t>ABBCHL</t>
  </si>
  <si>
    <t>ABBCHLU</t>
  </si>
  <si>
    <t>SITO</t>
  </si>
  <si>
    <t>SITOU</t>
  </si>
  <si>
    <t>A25</t>
  </si>
  <si>
    <t>A25U</t>
  </si>
  <si>
    <t>A26</t>
  </si>
  <si>
    <t>A26U</t>
  </si>
  <si>
    <t>A27</t>
  </si>
  <si>
    <t>A27U</t>
  </si>
  <si>
    <t>A28</t>
  </si>
  <si>
    <t>A28U</t>
  </si>
  <si>
    <t>A29</t>
  </si>
  <si>
    <t>A29U</t>
  </si>
  <si>
    <t>A30</t>
  </si>
  <si>
    <t>A30U</t>
  </si>
  <si>
    <t>A31</t>
  </si>
  <si>
    <t>A31U</t>
  </si>
  <si>
    <t>A32</t>
  </si>
  <si>
    <t>A32U</t>
  </si>
  <si>
    <t>A33</t>
  </si>
  <si>
    <t>A33U</t>
  </si>
  <si>
    <t>A34</t>
  </si>
  <si>
    <t>A34U</t>
  </si>
  <si>
    <t>A35</t>
  </si>
  <si>
    <t>A35U</t>
  </si>
  <si>
    <t>A36</t>
  </si>
  <si>
    <t>A36U</t>
  </si>
  <si>
    <t>LEVOG</t>
  </si>
  <si>
    <t>LEVOGU</t>
  </si>
  <si>
    <t>W1</t>
  </si>
  <si>
    <t>PM25ugm3</t>
  </si>
  <si>
    <t>W2</t>
  </si>
  <si>
    <t>W3</t>
  </si>
  <si>
    <t>W4</t>
  </si>
  <si>
    <t>W5</t>
  </si>
  <si>
    <t>W6</t>
  </si>
  <si>
    <t>W7</t>
  </si>
  <si>
    <t>W8</t>
  </si>
  <si>
    <t>DATE</t>
  </si>
  <si>
    <t>DUR</t>
  </si>
  <si>
    <t xml:space="preserve"> STHOUR</t>
  </si>
  <si>
    <t xml:space="preserve"> SIZE</t>
  </si>
  <si>
    <t xml:space="preserve"> TOT </t>
  </si>
  <si>
    <t xml:space="preserve">TOTU </t>
  </si>
  <si>
    <t xml:space="preserve">EC </t>
  </si>
  <si>
    <t>ECU</t>
  </si>
  <si>
    <t>Sources</t>
  </si>
  <si>
    <t>Prof1</t>
  </si>
  <si>
    <t>Prof2</t>
  </si>
  <si>
    <t>Ambient</t>
  </si>
  <si>
    <t>Day1</t>
  </si>
  <si>
    <t>Day2</t>
  </si>
  <si>
    <t>…</t>
  </si>
  <si>
    <t>DayN</t>
  </si>
  <si>
    <t>ProfN</t>
  </si>
  <si>
    <t>Species1</t>
  </si>
  <si>
    <t>Species2</t>
  </si>
  <si>
    <t>Species3</t>
  </si>
  <si>
    <t>Xcalc</t>
  </si>
  <si>
    <t>Ycalc</t>
  </si>
  <si>
    <t>Prof3</t>
  </si>
  <si>
    <t>Prof4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</si>
</sst>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5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Fill="1" applyBorder="1" applyAlignment="1">
      <alignment vertical="center"/>
    </xf>
    <xf numFmtId="0" fontId="1" fillId="0" borderId="0" xfId="0" applyFont="1"/>
    <xf numFmtId="164" fontId="1" fillId="0" borderId="0" xfId="0" applyNumberFormat="1" applyFont="1"/>
    <xf numFmtId="0" fontId="2" fillId="0" borderId="0" xfId="0" applyFont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Ratio-Ratio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Hoja2!$E$9:$E$14</c:f>
              <c:numCache>
                <c:formatCode>General</c:formatCode>
                <c:ptCount val="6"/>
                <c:pt idx="0">
                  <c:v>9.5471875557630231E-2</c:v>
                </c:pt>
                <c:pt idx="1">
                  <c:v>9.5590125273561991E-2</c:v>
                </c:pt>
                <c:pt idx="2">
                  <c:v>4.2588962797383431E-2</c:v>
                </c:pt>
                <c:pt idx="3">
                  <c:v>9.1434516021177276E-2</c:v>
                </c:pt>
                <c:pt idx="4">
                  <c:v>3.1434848762603995E-2</c:v>
                </c:pt>
                <c:pt idx="5">
                  <c:v>2.5613978860342279E-2</c:v>
                </c:pt>
              </c:numCache>
            </c:numRef>
          </c:xVal>
          <c:yVal>
            <c:numRef>
              <c:f>Hoja2!$F$9:$F$14</c:f>
              <c:numCache>
                <c:formatCode>General</c:formatCode>
                <c:ptCount val="6"/>
                <c:pt idx="0">
                  <c:v>0.1942202829007445</c:v>
                </c:pt>
                <c:pt idx="1">
                  <c:v>0.1091666923695384</c:v>
                </c:pt>
                <c:pt idx="2">
                  <c:v>0.13972219414130693</c:v>
                </c:pt>
                <c:pt idx="3">
                  <c:v>0.18871337038495994</c:v>
                </c:pt>
                <c:pt idx="4">
                  <c:v>0.1102907389379386</c:v>
                </c:pt>
                <c:pt idx="5">
                  <c:v>8.1344314332084805E-2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F-4686-B2E3-06E62823DACF}"/>
            </c:ext>
          </c:extLst>
        </c:ser>
        <c:ser>
          <c:idx val="1"/>
          <c:order val="1"/>
          <c:tx>
            <c:v>Sources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dPt>
            <c:idx val="4"/>
            <c:marker>
              <c:symbol val="diamond"/>
              <c:size val="8"/>
              <c:spPr>
                <a:solidFill>
                  <a:schemeClr val="accent2"/>
                </a:solidFill>
                <a:ln w="25400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282-4BB7-AF54-193A6DE6F56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E2DE365-2049-4102-84D7-45E772B893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82-4BB7-AF54-193A6DE6F5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1727C-731D-4E3E-B71C-4307B6164B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82-4BB7-AF54-193A6DE6F5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4B0824-4198-41A1-9DE9-DBFB48E88840}" type="CELLREF">
                      <a:rPr lang="en-US"/>
                      <a:pPr/>
                      <a:t>[CELLREF]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{A34B0824-4198-41A1-9DE9-DBFB48E88840}</c15:txfldGUID>
                      <c15:f>Hoja2!$A$4</c15:f>
                      <c15:dlblFieldTableCache>
                        <c:ptCount val="1"/>
                        <c:pt idx="0">
                          <c:v>Prof3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3-5BDF-4686-B2E3-06E62823DA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B9BC41-946F-4CC9-BE92-161C8931A3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82-4BB7-AF54-193A6DE6F5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F0CDDB-77C5-42D1-9DF6-C56B39FFDA6E}" type="CELLREF">
                      <a:rPr lang="en-US"/>
                      <a:pPr/>
                      <a:t>[CELLREF]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{0CF0CDDB-77C5-42D1-9DF6-C56B39FFDA6E}</c15:txfldGUID>
                      <c15:f>Hoja2!$A$6</c15:f>
                      <c15:dlblFieldTableCache>
                        <c:ptCount val="1"/>
                        <c:pt idx="0">
                          <c:v>ProfN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0-0282-4BB7-AF54-193A6DE6F5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Hoja2!$E$2:$E$6</c:f>
              <c:numCache>
                <c:formatCode>General</c:formatCode>
                <c:ptCount val="5"/>
                <c:pt idx="0">
                  <c:v>6.321058453962218E-2</c:v>
                </c:pt>
                <c:pt idx="1">
                  <c:v>1.6307538886481697E-2</c:v>
                </c:pt>
                <c:pt idx="2">
                  <c:v>3.8869277300970853E-2</c:v>
                </c:pt>
                <c:pt idx="3">
                  <c:v>8.3704642478450771E-3</c:v>
                </c:pt>
                <c:pt idx="4">
                  <c:v>5.5450342949612055E-2</c:v>
                </c:pt>
              </c:numCache>
            </c:numRef>
          </c:xVal>
          <c:yVal>
            <c:numRef>
              <c:f>Hoja2!$F$2:$F$6</c:f>
              <c:numCache>
                <c:formatCode>General</c:formatCode>
                <c:ptCount val="5"/>
                <c:pt idx="0">
                  <c:v>0.16313856275910757</c:v>
                </c:pt>
                <c:pt idx="1">
                  <c:v>0.1023159149155492</c:v>
                </c:pt>
                <c:pt idx="2">
                  <c:v>4.3116937451224607E-2</c:v>
                </c:pt>
                <c:pt idx="3">
                  <c:v>1.3592222855947043E-2</c:v>
                </c:pt>
                <c:pt idx="4">
                  <c:v>0.12309513354634037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Hoja2!$A$2:$A$6</c15:f>
                <c15:dlblRangeCache>
                  <c:ptCount val="5"/>
                  <c:pt idx="0">
                    <c:v>Prof1</c:v>
                  </c:pt>
                  <c:pt idx="1">
                    <c:v>Prof2</c:v>
                  </c:pt>
                  <c:pt idx="2">
                    <c:v>Prof3</c:v>
                  </c:pt>
                  <c:pt idx="3">
                    <c:v>Prof4</c:v>
                  </c:pt>
                  <c:pt idx="4">
                    <c:v>ProfN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BDF-4686-B2E3-06E62823D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527944"/>
        <c:axId val="720529912"/>
      </c:scatterChart>
      <c:valAx>
        <c:axId val="72052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Species 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529912"/>
        <c:crosses val="autoZero"/>
        <c:crossBetween val="midCat"/>
      </c:valAx>
      <c:valAx>
        <c:axId val="72052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Species 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52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373380</xdr:colOff>
      <xdr:row>7</xdr:row>
      <xdr:rowOff>19050</xdr:rowOff>
    </xdr:from>
    <xdr:to>
      <xdr:col>14</xdr:col>
      <xdr:colOff>518160</xdr:colOff>
      <xdr:row>22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9E713C-CEFC-4A02-BD00-C8F9E0A3A7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9"/>
  <sheetViews>
    <sheetView tabSelected="1" workbookViewId="0">
      <selection activeCell="C12" sqref="C12"/>
    </sheetView>
  </sheetViews>
  <sheetFormatPr defaultColWidth="9.21875" defaultRowHeight="14.4" x14ac:dyDescent="0.3"/>
  <cols>
    <col min="1" max="1" width="3.5546875" style="3" customWidth="1"/>
    <col min="2" max="2" width="11.44140625" style="3" customWidth="1"/>
    <col min="3" max="3" width="6.21875" style="3" customWidth="1"/>
    <col min="4" max="4" width="9.21875" style="3" customWidth="1"/>
    <col min="5" max="5" width="11.21875" style="3" customWidth="1"/>
    <col min="6" max="30" width="9.21875" style="3"/>
    <col min="31" max="31" width="12.109375" style="3" bestFit="1" customWidth="1"/>
    <col min="32" max="16384" width="9.21875" style="3"/>
  </cols>
  <sheetData>
    <row r="1" spans="1:57" x14ac:dyDescent="0.3">
      <c r="A1" s="1" t="s">
        <v>0</v>
      </c>
      <c r="B1" s="1" t="s">
        <v>58</v>
      </c>
      <c r="C1" s="1" t="s">
        <v>59</v>
      </c>
      <c r="D1" s="1" t="s">
        <v>60</v>
      </c>
      <c r="E1" s="2" t="s">
        <v>61</v>
      </c>
      <c r="F1" s="3" t="s">
        <v>62</v>
      </c>
      <c r="G1" s="2" t="s">
        <v>63</v>
      </c>
      <c r="H1" s="2" t="s">
        <v>64</v>
      </c>
      <c r="I1" s="2" t="s">
        <v>65</v>
      </c>
      <c r="J1" s="3" t="s">
        <v>1</v>
      </c>
      <c r="K1" s="3" t="s">
        <v>2</v>
      </c>
      <c r="L1" s="3" t="s">
        <v>3</v>
      </c>
      <c r="M1" s="3" t="s">
        <v>4</v>
      </c>
      <c r="N1" s="3" t="s">
        <v>5</v>
      </c>
      <c r="O1" s="3" t="s">
        <v>6</v>
      </c>
      <c r="P1" s="3" t="s">
        <v>7</v>
      </c>
      <c r="Q1" s="3" t="s">
        <v>8</v>
      </c>
      <c r="R1" s="3" t="s">
        <v>9</v>
      </c>
      <c r="S1" s="3" t="s">
        <v>10</v>
      </c>
      <c r="T1" s="3" t="s">
        <v>11</v>
      </c>
      <c r="U1" s="3" t="s">
        <v>12</v>
      </c>
      <c r="V1" s="3" t="s">
        <v>13</v>
      </c>
      <c r="W1" s="3" t="s">
        <v>14</v>
      </c>
      <c r="X1" s="3" t="s">
        <v>15</v>
      </c>
      <c r="Y1" s="3" t="s">
        <v>16</v>
      </c>
      <c r="Z1" s="3" t="s">
        <v>17</v>
      </c>
      <c r="AA1" s="3" t="s">
        <v>18</v>
      </c>
      <c r="AB1" s="3" t="s">
        <v>19</v>
      </c>
      <c r="AC1" s="3" t="s">
        <v>20</v>
      </c>
      <c r="AD1" s="4" t="s">
        <v>21</v>
      </c>
      <c r="AE1" s="4" t="s">
        <v>22</v>
      </c>
      <c r="AF1" s="2" t="s">
        <v>23</v>
      </c>
      <c r="AG1" s="2" t="s">
        <v>24</v>
      </c>
      <c r="AH1" s="2" t="s">
        <v>25</v>
      </c>
      <c r="AI1" s="2" t="s">
        <v>26</v>
      </c>
      <c r="AJ1" s="2" t="s">
        <v>27</v>
      </c>
      <c r="AK1" s="2" t="s">
        <v>28</v>
      </c>
      <c r="AL1" s="2" t="s">
        <v>29</v>
      </c>
      <c r="AM1" s="2" t="s">
        <v>30</v>
      </c>
      <c r="AN1" s="2" t="s">
        <v>31</v>
      </c>
      <c r="AO1" s="2" t="s">
        <v>32</v>
      </c>
      <c r="AP1" s="2" t="s">
        <v>33</v>
      </c>
      <c r="AQ1" s="2" t="s">
        <v>34</v>
      </c>
      <c r="AR1" s="3" t="s">
        <v>35</v>
      </c>
      <c r="AS1" s="3" t="s">
        <v>36</v>
      </c>
      <c r="AT1" s="3" t="s">
        <v>37</v>
      </c>
      <c r="AU1" s="3" t="s">
        <v>38</v>
      </c>
      <c r="AV1" s="3" t="s">
        <v>39</v>
      </c>
      <c r="AW1" s="3" t="s">
        <v>40</v>
      </c>
      <c r="AX1" s="3" t="s">
        <v>41</v>
      </c>
      <c r="AY1" s="3" t="s">
        <v>42</v>
      </c>
      <c r="AZ1" s="3" t="s">
        <v>43</v>
      </c>
      <c r="BA1" s="3" t="s">
        <v>44</v>
      </c>
      <c r="BB1" s="3" t="s">
        <v>45</v>
      </c>
      <c r="BC1" s="3" t="s">
        <v>46</v>
      </c>
      <c r="BD1" s="3" t="s">
        <v>47</v>
      </c>
      <c r="BE1" s="3" t="s">
        <v>48</v>
      </c>
    </row>
    <row r="2" spans="1:57" x14ac:dyDescent="0.3">
      <c r="A2" s="5" t="s">
        <v>49</v>
      </c>
      <c r="B2" s="6">
        <v>41833</v>
      </c>
      <c r="C2" s="5">
        <v>24</v>
      </c>
      <c r="D2" s="5">
        <v>0</v>
      </c>
      <c r="E2" s="7" t="s">
        <v>50</v>
      </c>
      <c r="F2" s="3">
        <v>26.113333333333333</v>
      </c>
      <c r="G2" s="3">
        <v>0.74127945104193804</v>
      </c>
      <c r="H2" s="3">
        <v>1.95</v>
      </c>
      <c r="I2" s="3">
        <v>4.4168553418819492E-2</v>
      </c>
      <c r="J2" s="3">
        <v>4.5762333333333339E-3</v>
      </c>
      <c r="K2" s="8">
        <v>2.7771746899882103E-4</v>
      </c>
      <c r="L2" s="3">
        <v>4.800766666666666E-3</v>
      </c>
      <c r="M2" s="8">
        <v>3.3621507078736903E-4</v>
      </c>
      <c r="N2" s="3">
        <v>3.478191666666667E-3</v>
      </c>
      <c r="O2" s="8">
        <v>2.1101825672735052E-4</v>
      </c>
      <c r="P2" s="3">
        <v>5.3189500000000002E-3</v>
      </c>
      <c r="Q2" s="8">
        <v>1.2767179892528258E-3</v>
      </c>
      <c r="R2" s="3">
        <v>3.6012000000000001E-3</v>
      </c>
      <c r="S2" s="8">
        <v>2.1707403566934897E-4</v>
      </c>
      <c r="T2" s="3">
        <v>6.5575833333333337E-4</v>
      </c>
      <c r="U2" s="8">
        <v>6.106295150998771E-5</v>
      </c>
      <c r="V2" s="3">
        <v>0</v>
      </c>
      <c r="W2" s="8">
        <v>2.0833333333333333E-5</v>
      </c>
      <c r="X2" s="3">
        <v>1.5959166666666667E-4</v>
      </c>
      <c r="Y2" s="8">
        <v>1.9057857831846915E-5</v>
      </c>
      <c r="Z2" s="3">
        <v>1.2095000000000001E-4</v>
      </c>
      <c r="AA2" s="8">
        <v>2.5231137998402777E-5</v>
      </c>
      <c r="AB2" s="3">
        <v>0</v>
      </c>
      <c r="AC2" s="8">
        <v>1.0416666666666666E-5</v>
      </c>
      <c r="AD2" s="3">
        <v>0</v>
      </c>
      <c r="AE2" s="8">
        <v>1.47313912747197E-5</v>
      </c>
      <c r="AF2" s="3">
        <v>5.3008250000000003E-3</v>
      </c>
      <c r="AG2" s="8">
        <v>1.5372392500000002E-3</v>
      </c>
      <c r="AH2" s="3">
        <v>3.7584583333333328E-3</v>
      </c>
      <c r="AI2" s="8">
        <v>1.01478375E-3</v>
      </c>
      <c r="AJ2" s="3">
        <v>3.9429749999999996E-3</v>
      </c>
      <c r="AK2" s="8">
        <v>7.8859500000000001E-4</v>
      </c>
      <c r="AL2" s="3">
        <v>2.5972083333333337E-3</v>
      </c>
      <c r="AM2" s="8">
        <v>3.8958125000000009E-4</v>
      </c>
      <c r="AN2" s="3">
        <v>3.2874833333333339E-3</v>
      </c>
      <c r="AO2" s="8">
        <v>3.2874833333333334E-4</v>
      </c>
      <c r="AP2" s="3">
        <v>1.6779583333333332E-3</v>
      </c>
      <c r="AQ2" s="8">
        <v>1.5101625E-4</v>
      </c>
      <c r="AR2" s="3">
        <v>1.7240333333333336E-3</v>
      </c>
      <c r="AS2" s="8">
        <v>1.0344200000000002E-4</v>
      </c>
      <c r="AT2" s="3">
        <v>1.3674500000000001E-3</v>
      </c>
      <c r="AU2" s="8">
        <v>2.7303580440443665E-4</v>
      </c>
      <c r="AV2" s="3">
        <v>1.2800000000000001E-3</v>
      </c>
      <c r="AW2" s="8">
        <v>3.0160849531212555E-4</v>
      </c>
      <c r="AX2" s="3">
        <v>9.7290833333333335E-4</v>
      </c>
      <c r="AY2" s="8">
        <v>2.5672472076185027E-4</v>
      </c>
      <c r="AZ2" s="3">
        <v>8.8109166666666672E-4</v>
      </c>
      <c r="BA2" s="8">
        <v>2.555283958589534E-4</v>
      </c>
      <c r="BB2" s="3">
        <v>7.5443333333333337E-4</v>
      </c>
      <c r="BC2" s="8">
        <v>2.5282983236974056E-4</v>
      </c>
      <c r="BD2" s="3">
        <v>0.79547757500000005</v>
      </c>
      <c r="BE2" s="8">
        <v>0.16705029075</v>
      </c>
    </row>
    <row r="3" spans="1:57" x14ac:dyDescent="0.3">
      <c r="A3" s="5" t="s">
        <v>51</v>
      </c>
      <c r="B3" s="6">
        <v>41840</v>
      </c>
      <c r="C3" s="5">
        <v>24</v>
      </c>
      <c r="D3" s="5">
        <v>0</v>
      </c>
      <c r="E3" s="7" t="s">
        <v>50</v>
      </c>
      <c r="F3" s="3">
        <v>41.842416666666665</v>
      </c>
      <c r="G3" s="3">
        <v>1.0917135242276159</v>
      </c>
      <c r="H3" s="3">
        <v>2.7076666666666669</v>
      </c>
      <c r="I3" s="3">
        <v>5.2822817039608928E-2</v>
      </c>
      <c r="J3" s="3">
        <v>9.7574416666666667E-3</v>
      </c>
      <c r="K3" s="8">
        <v>5.8692735110349155E-4</v>
      </c>
      <c r="L3" s="3">
        <v>6.9881166666666671E-3</v>
      </c>
      <c r="M3" s="8">
        <v>4.8927906375040439E-4</v>
      </c>
      <c r="N3" s="3">
        <v>6.1451666666666668E-3</v>
      </c>
      <c r="O3" s="8">
        <v>3.7003192646040692E-4</v>
      </c>
      <c r="P3" s="3">
        <v>9.6762666666666674E-3</v>
      </c>
      <c r="Q3" s="8">
        <v>2.322397445786095E-3</v>
      </c>
      <c r="R3" s="3">
        <v>6.227425E-3</v>
      </c>
      <c r="S3" s="8">
        <v>3.7422585085483847E-4</v>
      </c>
      <c r="T3" s="3">
        <v>1.1637833333333334E-3</v>
      </c>
      <c r="U3" s="8">
        <v>9.820727590379668E-5</v>
      </c>
      <c r="V3" s="3">
        <v>0</v>
      </c>
      <c r="W3" s="8">
        <v>2.0833333333333333E-5</v>
      </c>
      <c r="X3" s="3">
        <v>4.2760000000000004E-4</v>
      </c>
      <c r="Y3" s="8">
        <v>4.401050493285034E-5</v>
      </c>
      <c r="Z3" s="3">
        <v>2.6505000000000002E-4</v>
      </c>
      <c r="AA3" s="8">
        <v>5.1425540198372677E-5</v>
      </c>
      <c r="AB3" s="3">
        <v>0</v>
      </c>
      <c r="AC3" s="8">
        <v>1.0416666666666666E-5</v>
      </c>
      <c r="AD3" s="3">
        <v>0</v>
      </c>
      <c r="AE3" s="8">
        <v>1.47313912747197E-5</v>
      </c>
      <c r="AF3" s="3">
        <v>7.3723166666666666E-3</v>
      </c>
      <c r="AG3" s="8">
        <v>2.1379718333333331E-3</v>
      </c>
      <c r="AH3" s="3">
        <v>4.9069416666666669E-3</v>
      </c>
      <c r="AI3" s="8">
        <v>1.3248742500000001E-3</v>
      </c>
      <c r="AJ3" s="3">
        <v>5.2656250000000003E-3</v>
      </c>
      <c r="AK3" s="8">
        <v>1.053125E-3</v>
      </c>
      <c r="AL3" s="3">
        <v>3.4907083333333331E-3</v>
      </c>
      <c r="AM3" s="8">
        <v>5.2360625E-4</v>
      </c>
      <c r="AN3" s="3">
        <v>4.1935333333333342E-3</v>
      </c>
      <c r="AO3" s="8">
        <v>4.1935333333333334E-4</v>
      </c>
      <c r="AP3" s="3">
        <v>2.2937166666666666E-3</v>
      </c>
      <c r="AQ3" s="8">
        <v>2.0643449999999998E-4</v>
      </c>
      <c r="AR3" s="3">
        <v>2.5964083333333333E-3</v>
      </c>
      <c r="AS3" s="8">
        <v>1.5578449999999997E-4</v>
      </c>
      <c r="AT3" s="3">
        <v>1.9882583333333333E-3</v>
      </c>
      <c r="AU3" s="8">
        <v>2.8644066854765539E-4</v>
      </c>
      <c r="AV3" s="3">
        <v>2.0839416666666665E-3</v>
      </c>
      <c r="AW3" s="8">
        <v>3.1733825923877261E-4</v>
      </c>
      <c r="AX3" s="3">
        <v>1.4839E-3</v>
      </c>
      <c r="AY3" s="8">
        <v>2.6538095854073627E-4</v>
      </c>
      <c r="AZ3" s="3">
        <v>1.321675E-3</v>
      </c>
      <c r="BA3" s="8">
        <v>2.6227575049983179E-4</v>
      </c>
      <c r="BB3" s="3">
        <v>9.4786666666666665E-4</v>
      </c>
      <c r="BC3" s="8">
        <v>2.5445260471145594E-4</v>
      </c>
      <c r="BD3" s="3">
        <v>0.82495574999999999</v>
      </c>
      <c r="BE3" s="8">
        <v>0.17324070750000001</v>
      </c>
    </row>
    <row r="4" spans="1:57" x14ac:dyDescent="0.3">
      <c r="A4" s="5" t="s">
        <v>52</v>
      </c>
      <c r="B4" s="6">
        <v>41848</v>
      </c>
      <c r="C4" s="5">
        <v>24</v>
      </c>
      <c r="D4" s="5">
        <v>0</v>
      </c>
      <c r="E4" s="7" t="s">
        <v>50</v>
      </c>
      <c r="F4" s="3">
        <v>13.919916666666666</v>
      </c>
      <c r="G4" s="3">
        <v>0.38430071173110913</v>
      </c>
      <c r="H4" s="3">
        <v>1.2986666666666669</v>
      </c>
      <c r="I4" s="3">
        <v>2.7709179185084344E-2</v>
      </c>
      <c r="J4" s="3">
        <v>3.0872416666666664E-3</v>
      </c>
      <c r="K4" s="8">
        <v>1.8986292713787256E-4</v>
      </c>
      <c r="L4" s="3">
        <v>2.8738750000000001E-3</v>
      </c>
      <c r="M4" s="8">
        <v>2.0144075747228248E-4</v>
      </c>
      <c r="N4" s="3">
        <v>2.039E-3</v>
      </c>
      <c r="O4" s="8">
        <v>1.2626811988780069E-4</v>
      </c>
      <c r="P4" s="3">
        <v>2.9296416666666669E-3</v>
      </c>
      <c r="Q4" s="8">
        <v>7.0342257909010702E-4</v>
      </c>
      <c r="R4" s="3">
        <v>2.0574E-3</v>
      </c>
      <c r="S4" s="8">
        <v>1.2518965178391452E-4</v>
      </c>
      <c r="T4" s="3">
        <v>4.0299999999999998E-4</v>
      </c>
      <c r="U4" s="8">
        <v>4.4899667036627341E-5</v>
      </c>
      <c r="V4" s="3">
        <v>0</v>
      </c>
      <c r="W4" s="8">
        <v>2.0833333333333333E-5</v>
      </c>
      <c r="X4" s="3">
        <v>1.0101666666666666E-4</v>
      </c>
      <c r="Y4" s="8">
        <v>1.4510362293509039E-5</v>
      </c>
      <c r="Z4" s="3">
        <v>8.9174999999999999E-5</v>
      </c>
      <c r="AA4" s="8">
        <v>1.9889209763259688E-5</v>
      </c>
      <c r="AB4" s="3">
        <v>0</v>
      </c>
      <c r="AC4" s="8">
        <v>1.0416666666666666E-5</v>
      </c>
      <c r="AD4" s="3">
        <v>0</v>
      </c>
      <c r="AE4" s="8">
        <v>1.47313912747197E-5</v>
      </c>
      <c r="AF4" s="3">
        <v>3.496166666666667E-3</v>
      </c>
      <c r="AG4" s="8">
        <v>1.0138883333333335E-3</v>
      </c>
      <c r="AH4" s="3">
        <v>2.7625083333333339E-3</v>
      </c>
      <c r="AI4" s="8">
        <v>7.4587725000000002E-4</v>
      </c>
      <c r="AJ4" s="3">
        <v>2.4395083333333335E-3</v>
      </c>
      <c r="AK4" s="8">
        <v>4.879016666666667E-4</v>
      </c>
      <c r="AL4" s="3">
        <v>1.6333000000000001E-3</v>
      </c>
      <c r="AM4" s="8">
        <v>2.4499500000000002E-4</v>
      </c>
      <c r="AN4" s="3">
        <v>1.7817583333333334E-3</v>
      </c>
      <c r="AO4" s="8">
        <v>1.7817583333333334E-4</v>
      </c>
      <c r="AP4" s="3">
        <v>1.0330083333333336E-3</v>
      </c>
      <c r="AQ4" s="8">
        <v>9.2970750000000025E-5</v>
      </c>
      <c r="AR4" s="3">
        <v>1.1236166666666668E-3</v>
      </c>
      <c r="AS4" s="8">
        <v>6.7417000000000009E-5</v>
      </c>
      <c r="AT4" s="3">
        <v>9.9045833333333342E-4</v>
      </c>
      <c r="AU4" s="8">
        <v>2.6711134014494357E-4</v>
      </c>
      <c r="AV4" s="3">
        <v>9.6561666666666684E-4</v>
      </c>
      <c r="AW4" s="8">
        <v>2.973653315594211E-4</v>
      </c>
      <c r="AX4" s="3">
        <v>6.6523333333333337E-4</v>
      </c>
      <c r="AY4" s="8">
        <v>2.5316620508274797E-4</v>
      </c>
      <c r="AZ4" s="3">
        <v>7.5037500000000007E-4</v>
      </c>
      <c r="BA4" s="8">
        <v>2.5402170282527042E-4</v>
      </c>
      <c r="BB4" s="3">
        <v>5.9309166666666666E-4</v>
      </c>
      <c r="BC4" s="8">
        <v>2.5175264509568439E-4</v>
      </c>
      <c r="BD4" s="3">
        <v>0.83143946666666668</v>
      </c>
      <c r="BE4" s="8">
        <v>0.17460228800000002</v>
      </c>
    </row>
    <row r="5" spans="1:57" x14ac:dyDescent="0.3">
      <c r="A5" s="5" t="s">
        <v>53</v>
      </c>
      <c r="B5" s="6">
        <v>41854</v>
      </c>
      <c r="C5" s="5">
        <v>24</v>
      </c>
      <c r="D5" s="5">
        <v>0</v>
      </c>
      <c r="E5" s="7" t="s">
        <v>50</v>
      </c>
      <c r="F5" s="3">
        <v>31.036000000000001</v>
      </c>
      <c r="G5" s="3">
        <v>0.76060950675051342</v>
      </c>
      <c r="H5" s="3">
        <v>2.0354166666666669</v>
      </c>
      <c r="I5" s="3">
        <v>2.9640437843519718E-2</v>
      </c>
      <c r="J5" s="3">
        <v>5.804025E-3</v>
      </c>
      <c r="K5" s="8">
        <v>3.507253247676323E-4</v>
      </c>
      <c r="L5" s="3">
        <v>4.8402416666666675E-3</v>
      </c>
      <c r="M5" s="8">
        <v>3.3897700506664374E-4</v>
      </c>
      <c r="N5" s="3">
        <v>4.2035750000000002E-3</v>
      </c>
      <c r="O5" s="8">
        <v>2.5414310242509046E-4</v>
      </c>
      <c r="P5" s="3">
        <v>6.0357833333333326E-3</v>
      </c>
      <c r="Q5" s="8">
        <v>1.4487378028897355E-3</v>
      </c>
      <c r="R5" s="3">
        <v>4.1482083333333336E-3</v>
      </c>
      <c r="S5" s="8">
        <v>2.4976289623166169E-4</v>
      </c>
      <c r="T5" s="3">
        <v>7.678833333333334E-4</v>
      </c>
      <c r="U5" s="8">
        <v>6.8922342582874465E-5</v>
      </c>
      <c r="V5" s="3">
        <v>0</v>
      </c>
      <c r="W5" s="8">
        <v>2.0833333333333333E-5</v>
      </c>
      <c r="X5" s="3">
        <v>2.11325E-4</v>
      </c>
      <c r="Y5" s="8">
        <v>2.3560337448653925E-5</v>
      </c>
      <c r="Z5" s="3">
        <v>1.4067499999999999E-4</v>
      </c>
      <c r="AA5" s="8">
        <v>2.8686343310135307E-5</v>
      </c>
      <c r="AB5" s="3">
        <v>0</v>
      </c>
      <c r="AC5" s="8">
        <v>1.0416666666666666E-5</v>
      </c>
      <c r="AD5" s="3">
        <v>0</v>
      </c>
      <c r="AE5" s="8">
        <v>1.47313912747197E-5</v>
      </c>
      <c r="AF5" s="3">
        <v>6.5016916666666667E-3</v>
      </c>
      <c r="AG5" s="8">
        <v>1.8854905833333335E-3</v>
      </c>
      <c r="AH5" s="3">
        <v>4.5700166666666668E-3</v>
      </c>
      <c r="AI5" s="8">
        <v>1.2339045000000002E-3</v>
      </c>
      <c r="AJ5" s="3">
        <v>4.1672916666666664E-3</v>
      </c>
      <c r="AK5" s="8">
        <v>8.3345833333333329E-4</v>
      </c>
      <c r="AL5" s="3">
        <v>2.6590416666666663E-3</v>
      </c>
      <c r="AM5" s="8">
        <v>3.9885625000000004E-4</v>
      </c>
      <c r="AN5" s="3">
        <v>3.1052666666666665E-3</v>
      </c>
      <c r="AO5" s="8">
        <v>3.1052666666666668E-4</v>
      </c>
      <c r="AP5" s="3">
        <v>1.7816750000000001E-3</v>
      </c>
      <c r="AQ5" s="8">
        <v>1.6035075000000001E-4</v>
      </c>
      <c r="AR5" s="3">
        <v>1.8644999999999998E-3</v>
      </c>
      <c r="AS5" s="8">
        <v>1.1187E-4</v>
      </c>
      <c r="AT5" s="3">
        <v>1.6109166666666667E-3</v>
      </c>
      <c r="AU5" s="8">
        <v>2.7777514162138011E-4</v>
      </c>
      <c r="AV5" s="3">
        <v>1.5466249999999998E-3</v>
      </c>
      <c r="AW5" s="8">
        <v>3.0607322726872806E-4</v>
      </c>
      <c r="AX5" s="3">
        <v>1.1050583333333333E-3</v>
      </c>
      <c r="AY5" s="8">
        <v>2.5864290849016142E-4</v>
      </c>
      <c r="AZ5" s="3">
        <v>8.8583333333333331E-4</v>
      </c>
      <c r="BA5" s="8">
        <v>2.5558740677114752E-4</v>
      </c>
      <c r="BB5" s="3">
        <v>8.535583333333334E-4</v>
      </c>
      <c r="BC5" s="8">
        <v>2.536166488442881E-4</v>
      </c>
      <c r="BD5" s="3">
        <v>0.82808660833333325</v>
      </c>
      <c r="BE5" s="8">
        <v>0.17389818775000002</v>
      </c>
    </row>
    <row r="6" spans="1:57" x14ac:dyDescent="0.3">
      <c r="A6" s="5" t="s">
        <v>54</v>
      </c>
      <c r="B6" s="6">
        <v>41868</v>
      </c>
      <c r="C6" s="5">
        <v>24</v>
      </c>
      <c r="D6" s="5">
        <v>0</v>
      </c>
      <c r="E6" s="7" t="s">
        <v>50</v>
      </c>
      <c r="F6" s="3">
        <v>33.040666666666667</v>
      </c>
      <c r="G6" s="3">
        <v>0.82855529107620252</v>
      </c>
      <c r="H6" s="3">
        <v>1.7960833333333333</v>
      </c>
      <c r="I6" s="3">
        <v>4.1935052296510983E-2</v>
      </c>
      <c r="J6" s="3">
        <v>4.8727500000000003E-3</v>
      </c>
      <c r="K6" s="8">
        <v>2.9531915673743742E-4</v>
      </c>
      <c r="L6" s="3">
        <v>5.0933000000000003E-3</v>
      </c>
      <c r="M6" s="8">
        <v>3.5668313796063359E-4</v>
      </c>
      <c r="N6" s="3">
        <v>4.0150750000000008E-3</v>
      </c>
      <c r="O6" s="8">
        <v>2.4292291085908305E-4</v>
      </c>
      <c r="P6" s="3">
        <v>8.0580666666666672E-3</v>
      </c>
      <c r="Q6" s="8">
        <v>1.9340482103282171E-3</v>
      </c>
      <c r="R6" s="3">
        <v>4.932133333333334E-3</v>
      </c>
      <c r="S6" s="8">
        <v>2.966604270235209E-4</v>
      </c>
      <c r="T6" s="3">
        <v>1.0461166666666669E-3</v>
      </c>
      <c r="U6" s="8">
        <v>8.9333459654139546E-5</v>
      </c>
      <c r="V6" s="3">
        <v>0</v>
      </c>
      <c r="W6" s="8">
        <v>2.0833333333333333E-5</v>
      </c>
      <c r="X6" s="3">
        <v>2.0542499999999999E-4</v>
      </c>
      <c r="Y6" s="8">
        <v>2.3032612763089736E-5</v>
      </c>
      <c r="Z6" s="3">
        <v>1.2106666666666666E-4</v>
      </c>
      <c r="AA6" s="8">
        <v>2.5251329038730269E-5</v>
      </c>
      <c r="AB6" s="3">
        <v>0</v>
      </c>
      <c r="AC6" s="8">
        <v>1.0416666666666666E-5</v>
      </c>
      <c r="AD6" s="3">
        <v>0</v>
      </c>
      <c r="AE6" s="8">
        <v>1.47313912747197E-5</v>
      </c>
      <c r="AF6" s="3">
        <v>7.1166750000000003E-3</v>
      </c>
      <c r="AG6" s="8">
        <v>2.0638357500000004E-3</v>
      </c>
      <c r="AH6" s="3">
        <v>5.0663250000000009E-3</v>
      </c>
      <c r="AI6" s="8">
        <v>1.3679077500000003E-3</v>
      </c>
      <c r="AJ6" s="3">
        <v>6.0265000000000006E-3</v>
      </c>
      <c r="AK6" s="8">
        <v>1.2053000000000003E-3</v>
      </c>
      <c r="AL6" s="3">
        <v>4.0107749999999994E-3</v>
      </c>
      <c r="AM6" s="8">
        <v>6.0161625000000011E-4</v>
      </c>
      <c r="AN6" s="3">
        <v>5.478658333333334E-3</v>
      </c>
      <c r="AO6" s="8">
        <v>5.4786583333333325E-4</v>
      </c>
      <c r="AP6" s="3">
        <v>2.7119000000000002E-3</v>
      </c>
      <c r="AQ6" s="8">
        <v>2.4407099999999997E-4</v>
      </c>
      <c r="AR6" s="3">
        <v>2.9108166666666668E-3</v>
      </c>
      <c r="AS6" s="8">
        <v>1.7464900000000003E-4</v>
      </c>
      <c r="AT6" s="3">
        <v>2.2302583333333333E-3</v>
      </c>
      <c r="AU6" s="8">
        <v>2.9278563543662416E-4</v>
      </c>
      <c r="AV6" s="3">
        <v>2.2560499999999999E-3</v>
      </c>
      <c r="AW6" s="8">
        <v>3.2154717571990032E-4</v>
      </c>
      <c r="AX6" s="3">
        <v>1.7120083333333333E-3</v>
      </c>
      <c r="AY6" s="8">
        <v>2.7028041201731585E-4</v>
      </c>
      <c r="AZ6" s="3">
        <v>1.3809499999999999E-3</v>
      </c>
      <c r="BA6" s="8">
        <v>2.6337289619283148E-4</v>
      </c>
      <c r="BB6" s="3">
        <v>1.1607666666666667E-3</v>
      </c>
      <c r="BC6" s="8">
        <v>2.5664849139652297E-4</v>
      </c>
      <c r="BD6" s="3">
        <v>0.87324225</v>
      </c>
      <c r="BE6" s="8">
        <v>0.18338087250000001</v>
      </c>
    </row>
    <row r="7" spans="1:57" x14ac:dyDescent="0.3">
      <c r="A7" s="5" t="s">
        <v>55</v>
      </c>
      <c r="B7" s="6">
        <v>41875</v>
      </c>
      <c r="C7" s="5">
        <v>24</v>
      </c>
      <c r="D7" s="5">
        <v>0</v>
      </c>
      <c r="E7" s="7" t="s">
        <v>50</v>
      </c>
      <c r="F7" s="3">
        <v>26.327999999999996</v>
      </c>
      <c r="G7" s="3">
        <v>0.67340361294392082</v>
      </c>
      <c r="H7" s="3">
        <v>2.024</v>
      </c>
      <c r="I7" s="3">
        <v>3.1794260488333427E-2</v>
      </c>
      <c r="J7" s="3">
        <v>5.4332750000000004E-3</v>
      </c>
      <c r="K7" s="8">
        <v>3.2864848869782002E-4</v>
      </c>
      <c r="L7" s="3">
        <v>3.9937583333333332E-3</v>
      </c>
      <c r="M7" s="8">
        <v>2.7975708124600656E-4</v>
      </c>
      <c r="N7" s="3">
        <v>3.3399916666666672E-3</v>
      </c>
      <c r="O7" s="8">
        <v>2.0282140444304693E-4</v>
      </c>
      <c r="P7" s="3">
        <v>4.9080500000000006E-3</v>
      </c>
      <c r="Q7" s="8">
        <v>1.1781162185462764E-3</v>
      </c>
      <c r="R7" s="3">
        <v>3.2780249999999999E-3</v>
      </c>
      <c r="S7" s="8">
        <v>1.9778179951660815E-4</v>
      </c>
      <c r="T7" s="3">
        <v>6.6928333333333338E-4</v>
      </c>
      <c r="U7" s="8">
        <v>6.1994997006030878E-5</v>
      </c>
      <c r="V7" s="3">
        <v>0</v>
      </c>
      <c r="W7" s="8">
        <v>2.0833333333333333E-5</v>
      </c>
      <c r="X7" s="3">
        <v>2.3284166666666668E-4</v>
      </c>
      <c r="Y7" s="8">
        <v>2.5508025439174147E-5</v>
      </c>
      <c r="Z7" s="3">
        <v>1.3285E-4</v>
      </c>
      <c r="AA7" s="8">
        <v>2.7306414387364089E-5</v>
      </c>
      <c r="AB7" s="3">
        <v>0</v>
      </c>
      <c r="AC7" s="8">
        <v>1.0416666666666666E-5</v>
      </c>
      <c r="AD7" s="3">
        <v>0</v>
      </c>
      <c r="AE7" s="8">
        <v>1.47313912747197E-5</v>
      </c>
      <c r="AF7" s="3">
        <v>5.2778083333333333E-3</v>
      </c>
      <c r="AG7" s="8">
        <v>1.5305644166666668E-3</v>
      </c>
      <c r="AH7" s="3">
        <v>3.5886833333333337E-3</v>
      </c>
      <c r="AI7" s="8">
        <v>9.6894449999999997E-4</v>
      </c>
      <c r="AJ7" s="3">
        <v>3.7002416666666663E-3</v>
      </c>
      <c r="AK7" s="8">
        <v>7.4004833333333347E-4</v>
      </c>
      <c r="AL7" s="3">
        <v>2.4694416666666669E-3</v>
      </c>
      <c r="AM7" s="8">
        <v>3.7041625000000007E-4</v>
      </c>
      <c r="AN7" s="3">
        <v>3.2570333333333335E-3</v>
      </c>
      <c r="AO7" s="8">
        <v>3.2570333333333337E-4</v>
      </c>
      <c r="AP7" s="3">
        <v>1.5927333333333336E-3</v>
      </c>
      <c r="AQ7" s="8">
        <v>1.4334600000000003E-4</v>
      </c>
      <c r="AR7" s="3">
        <v>1.9900999999999999E-3</v>
      </c>
      <c r="AS7" s="8">
        <v>1.19406E-4</v>
      </c>
      <c r="AT7" s="3">
        <v>1.4331999999999999E-3</v>
      </c>
      <c r="AU7" s="8">
        <v>2.7424708629587624E-4</v>
      </c>
      <c r="AV7" s="3">
        <v>1.6132E-3</v>
      </c>
      <c r="AW7" s="8">
        <v>3.0730788422760074E-4</v>
      </c>
      <c r="AX7" s="3">
        <v>1.0559666666666667E-3</v>
      </c>
      <c r="AY7" s="8">
        <v>2.5790354042548542E-4</v>
      </c>
      <c r="AZ7" s="3">
        <v>8.7338333333333341E-4</v>
      </c>
      <c r="BA7" s="8">
        <v>2.5543311141862563E-4</v>
      </c>
      <c r="BB7" s="3">
        <v>7.5660833333333346E-4</v>
      </c>
      <c r="BC7" s="8">
        <v>2.5284608050190065E-4</v>
      </c>
      <c r="BD7" s="3">
        <v>0.85710374166666659</v>
      </c>
      <c r="BE7" s="8">
        <v>0.17999178574999999</v>
      </c>
    </row>
    <row r="8" spans="1:57" x14ac:dyDescent="0.3">
      <c r="A8" s="5" t="s">
        <v>56</v>
      </c>
      <c r="B8" s="6">
        <v>41882</v>
      </c>
      <c r="C8" s="5">
        <v>24</v>
      </c>
      <c r="D8" s="5">
        <v>0</v>
      </c>
      <c r="E8" s="7" t="s">
        <v>50</v>
      </c>
      <c r="F8" s="3">
        <v>16.57566666666667</v>
      </c>
      <c r="G8" s="3">
        <v>0.59043280578584745</v>
      </c>
      <c r="H8" s="3">
        <v>1.4154166666666668</v>
      </c>
      <c r="I8" s="3">
        <v>3.138603723526328E-2</v>
      </c>
      <c r="J8" s="3">
        <v>2.9432416666666668E-3</v>
      </c>
      <c r="K8" s="8">
        <v>1.8144345824901246E-4</v>
      </c>
      <c r="L8" s="3">
        <v>2.6737499999999999E-3</v>
      </c>
      <c r="M8" s="8">
        <v>1.8745214949606324E-4</v>
      </c>
      <c r="N8" s="3">
        <v>1.9835250000000003E-3</v>
      </c>
      <c r="O8" s="8">
        <v>1.2304592489087156E-4</v>
      </c>
      <c r="P8" s="3">
        <v>3.0825333333333333E-3</v>
      </c>
      <c r="Q8" s="8">
        <v>7.4010127998928486E-4</v>
      </c>
      <c r="R8" s="3">
        <v>1.9397333333333333E-3</v>
      </c>
      <c r="S8" s="8">
        <v>1.1823393435802506E-4</v>
      </c>
      <c r="T8" s="3">
        <v>3.3794166666666672E-4</v>
      </c>
      <c r="U8" s="8">
        <v>4.1321565174185311E-5</v>
      </c>
      <c r="V8" s="3">
        <v>0</v>
      </c>
      <c r="W8" s="8">
        <v>2.0833333333333333E-5</v>
      </c>
      <c r="X8" s="3">
        <v>1.3285833333333337E-4</v>
      </c>
      <c r="Y8" s="8">
        <v>1.6882544589177175E-5</v>
      </c>
      <c r="Z8" s="3">
        <v>1.1365833333333335E-4</v>
      </c>
      <c r="AA8" s="8">
        <v>2.3976124970854976E-5</v>
      </c>
      <c r="AB8" s="3">
        <v>0</v>
      </c>
      <c r="AC8" s="8">
        <v>1.0416666666666666E-5</v>
      </c>
      <c r="AD8" s="3">
        <v>0</v>
      </c>
      <c r="AE8" s="8">
        <v>1.47313912747197E-5</v>
      </c>
      <c r="AF8" s="3">
        <v>3.2583583333333339E-3</v>
      </c>
      <c r="AG8" s="8">
        <v>9.4492391666666691E-4</v>
      </c>
      <c r="AH8" s="3">
        <v>2.8039583333333336E-3</v>
      </c>
      <c r="AI8" s="8">
        <v>7.570687500000001E-4</v>
      </c>
      <c r="AJ8" s="3">
        <v>2.4249666666666674E-3</v>
      </c>
      <c r="AK8" s="8">
        <v>4.8499333333333345E-4</v>
      </c>
      <c r="AL8" s="3">
        <v>1.6995333333333334E-3</v>
      </c>
      <c r="AM8" s="8">
        <v>2.5493000000000005E-4</v>
      </c>
      <c r="AN8" s="3">
        <v>2.0820416666666665E-3</v>
      </c>
      <c r="AO8" s="8">
        <v>2.0820416666666663E-4</v>
      </c>
      <c r="AP8" s="3">
        <v>1.1706916666666667E-3</v>
      </c>
      <c r="AQ8" s="8">
        <v>1.0536225E-4</v>
      </c>
      <c r="AR8" s="3">
        <v>1.3338583333333334E-3</v>
      </c>
      <c r="AS8" s="8">
        <v>8.0031500000000015E-5</v>
      </c>
      <c r="AT8" s="3">
        <v>1.1528333333333334E-3</v>
      </c>
      <c r="AU8" s="8">
        <v>2.6944633821556711E-4</v>
      </c>
      <c r="AV8" s="3">
        <v>1.1432916666666666E-3</v>
      </c>
      <c r="AW8" s="8">
        <v>2.9962486787764206E-4</v>
      </c>
      <c r="AX8" s="3">
        <v>9.0234166666666672E-4</v>
      </c>
      <c r="AY8" s="8">
        <v>2.5579521836862002E-4</v>
      </c>
      <c r="AZ8" s="3">
        <v>7.4158333333333324E-4</v>
      </c>
      <c r="BA8" s="8">
        <v>2.5392874005318892E-4</v>
      </c>
      <c r="BB8" s="3">
        <v>7.0289166666666673E-4</v>
      </c>
      <c r="BC8" s="8">
        <v>2.5245819800052765E-4</v>
      </c>
      <c r="BD8" s="3">
        <v>0.8785743416666667</v>
      </c>
      <c r="BE8" s="8">
        <v>0.18450061175000002</v>
      </c>
    </row>
    <row r="9" spans="1:57" x14ac:dyDescent="0.3">
      <c r="A9" s="5" t="s">
        <v>57</v>
      </c>
      <c r="B9" s="6">
        <v>41889</v>
      </c>
      <c r="C9" s="5">
        <v>24</v>
      </c>
      <c r="D9" s="5">
        <v>0</v>
      </c>
      <c r="E9" s="7" t="s">
        <v>50</v>
      </c>
      <c r="F9" s="3">
        <v>30.774088800152118</v>
      </c>
      <c r="G9" s="3">
        <v>1.0493196940903122</v>
      </c>
      <c r="H9" s="3">
        <v>2.2556943335234836</v>
      </c>
      <c r="I9" s="3">
        <v>0.12209636682724612</v>
      </c>
      <c r="J9" s="3">
        <v>4.6154298245614034E-3</v>
      </c>
      <c r="K9" s="8">
        <v>2.8037753422269592E-4</v>
      </c>
      <c r="L9" s="3">
        <v>4.5050263157894741E-3</v>
      </c>
      <c r="M9" s="8">
        <v>3.1554241176188385E-4</v>
      </c>
      <c r="N9" s="3">
        <v>2.9738157894736847E-3</v>
      </c>
      <c r="O9" s="8">
        <v>1.8143580950549465E-4</v>
      </c>
      <c r="P9" s="3">
        <v>6.4066666666666673E-3</v>
      </c>
      <c r="Q9" s="8">
        <v>1.5377563777156948E-3</v>
      </c>
      <c r="R9" s="3">
        <v>4.4100438596491225E-3</v>
      </c>
      <c r="S9" s="8">
        <v>2.6550983003233251E-4</v>
      </c>
      <c r="T9" s="3">
        <v>8.1690350877192987E-4</v>
      </c>
      <c r="U9" s="8">
        <v>7.3164091635393507E-5</v>
      </c>
      <c r="V9" s="3">
        <v>0</v>
      </c>
      <c r="W9" s="8">
        <v>2.1929824561403507E-5</v>
      </c>
      <c r="X9" s="3">
        <v>1.8762280701754386E-4</v>
      </c>
      <c r="Y9" s="8">
        <v>2.1731370836992982E-5</v>
      </c>
      <c r="Z9" s="3">
        <v>1.1028070175438597E-4</v>
      </c>
      <c r="AA9" s="8">
        <v>2.3648921309464877E-5</v>
      </c>
      <c r="AB9" s="3">
        <v>0</v>
      </c>
      <c r="AC9" s="8">
        <v>1.0964912280701754E-5</v>
      </c>
      <c r="AD9" s="3">
        <v>0</v>
      </c>
      <c r="AE9" s="8">
        <v>1.47313912747197E-5</v>
      </c>
      <c r="AF9" s="3">
        <v>5.6623157894736846E-3</v>
      </c>
      <c r="AG9" s="8">
        <v>1.6420715789473685E-3</v>
      </c>
      <c r="AH9" s="3">
        <v>3.4454473684210523E-3</v>
      </c>
      <c r="AI9" s="8">
        <v>9.302707894736842E-4</v>
      </c>
      <c r="AJ9" s="3">
        <v>3.5825789473684214E-3</v>
      </c>
      <c r="AK9" s="8">
        <v>7.1651578947368438E-4</v>
      </c>
      <c r="AL9" s="3">
        <v>2.7112543859649121E-3</v>
      </c>
      <c r="AM9" s="8">
        <v>4.0668815789473694E-4</v>
      </c>
      <c r="AN9" s="3">
        <v>3.4077807017543859E-3</v>
      </c>
      <c r="AO9" s="8">
        <v>3.4077807017543862E-4</v>
      </c>
      <c r="AP9" s="3">
        <v>1.8274649122807019E-3</v>
      </c>
      <c r="AQ9" s="8">
        <v>1.6447184210526317E-4</v>
      </c>
      <c r="AR9" s="3">
        <v>1.9989473684210528E-3</v>
      </c>
      <c r="AS9" s="8">
        <v>1.1993684210526318E-4</v>
      </c>
      <c r="AT9" s="3">
        <v>1.79340350877193E-3</v>
      </c>
      <c r="AU9" s="8">
        <v>2.9448595798470473E-4</v>
      </c>
      <c r="AV9" s="3">
        <v>1.5600877192982457E-3</v>
      </c>
      <c r="AW9" s="8">
        <v>3.209699635923435E-4</v>
      </c>
      <c r="AX9" s="3">
        <v>9.7106140350877203E-4</v>
      </c>
      <c r="AY9" s="8">
        <v>2.6953058167879728E-4</v>
      </c>
      <c r="AZ9" s="3">
        <v>9.4759649122807025E-4</v>
      </c>
      <c r="BA9" s="8">
        <v>2.6922975013731821E-4</v>
      </c>
      <c r="BB9" s="3">
        <v>9.4558771929824565E-4</v>
      </c>
      <c r="BC9" s="8">
        <v>2.6737131091339255E-4</v>
      </c>
      <c r="BD9" s="3">
        <v>1.0819428859649123</v>
      </c>
      <c r="BE9" s="8">
        <v>0.22720800605263161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workbookViewId="0">
      <selection activeCell="I29" sqref="I29"/>
    </sheetView>
  </sheetViews>
  <sheetFormatPr defaultColWidth="9.21875" defaultRowHeight="14.4" x14ac:dyDescent="0.3"/>
  <sheetData>
    <row r="1" spans="1:6" x14ac:dyDescent="0.3">
      <c r="A1" t="s">
        <v>66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</row>
    <row r="2" spans="1:6" x14ac:dyDescent="0.3">
      <c r="A2" t="s">
        <v>67</v>
      </c>
      <c r="B2">
        <f ca="1">RAND()/10</f>
        <v>6.321058453962218E-2</v>
      </c>
      <c r="C2">
        <f ca="1">RAND()/10</f>
        <v>9.9927978219485389E-2</v>
      </c>
      <c r="E2">
        <f ca="1">B2</f>
        <v>6.321058453962218E-2</v>
      </c>
      <c r="F2">
        <f ca="1">B2+C2</f>
        <v>0.16313856275910757</v>
      </c>
    </row>
    <row r="3" spans="1:6" x14ac:dyDescent="0.3">
      <c r="A3" t="s">
        <v>68</v>
      </c>
      <c r="B3">
        <f t="shared" ref="B3:C14" ca="1" si="0">RAND()/10</f>
        <v>1.6307538886481697E-2</v>
      </c>
      <c r="C3">
        <f ca="1">RAND()/10</f>
        <v>8.600837602906751E-2</v>
      </c>
      <c r="E3">
        <f t="shared" ref="E3:E14" ca="1" si="1">B3</f>
        <v>1.6307538886481697E-2</v>
      </c>
      <c r="F3">
        <f t="shared" ref="F3:F14" ca="1" si="2">B3+C3</f>
        <v>0.1023159149155492</v>
      </c>
    </row>
    <row r="4" spans="1:6" x14ac:dyDescent="0.3">
      <c r="A4" t="s">
        <v>80</v>
      </c>
      <c r="B4">
        <f t="shared" ca="1" si="0"/>
        <v>3.8869277300970853E-2</v>
      </c>
      <c r="C4">
        <f t="shared" ca="1" si="0"/>
        <v>4.2476601502537516E-3</v>
      </c>
      <c r="E4">
        <f t="shared" ca="1" si="1"/>
        <v>3.8869277300970853E-2</v>
      </c>
      <c r="F4">
        <f t="shared" ca="1" si="2"/>
        <v>4.3116937451224607E-2</v>
      </c>
    </row>
    <row r="5" spans="1:6" x14ac:dyDescent="0.3">
      <c r="A5" t="s">
        <v>81</v>
      </c>
      <c r="B5">
        <f t="shared" ca="1" si="0"/>
        <v>8.3704642478450771E-3</v>
      </c>
      <c r="C5">
        <f t="shared" ca="1" si="0"/>
        <v>5.2217586081019672E-3</v>
      </c>
      <c r="E5">
        <f t="shared" ca="1" si="1"/>
        <v>8.3704642478450771E-3</v>
      </c>
      <c r="F5">
        <f t="shared" ca="1" si="2"/>
        <v>1.3592222855947043E-2</v>
      </c>
    </row>
    <row r="6" spans="1:6" x14ac:dyDescent="0.3">
      <c r="A6" t="s">
        <v>74</v>
      </c>
      <c r="B6">
        <f ca="1">RAND()/10</f>
        <v>5.5450342949612055E-2</v>
      </c>
      <c r="C6">
        <f t="shared" ca="1" si="0"/>
        <v>6.7644790596728316E-2</v>
      </c>
      <c r="E6">
        <f t="shared" ca="1" si="1"/>
        <v>5.5450342949612055E-2</v>
      </c>
      <c r="F6">
        <f t="shared" ca="1" si="2"/>
        <v>0.12309513354634037</v>
      </c>
    </row>
    <row r="8" spans="1:6" x14ac:dyDescent="0.3">
      <c r="A8" t="s">
        <v>69</v>
      </c>
      <c r="B8">
        <f t="shared" ca="1" si="0"/>
        <v>7.6785767133147859E-2</v>
      </c>
      <c r="C8">
        <f t="shared" ca="1" si="0"/>
        <v>2.6198886303001878E-2</v>
      </c>
      <c r="E8">
        <f t="shared" ca="1" si="1"/>
        <v>7.6785767133147859E-2</v>
      </c>
      <c r="F8">
        <f t="shared" ca="1" si="2"/>
        <v>0.10298465343614974</v>
      </c>
    </row>
    <row r="9" spans="1:6" x14ac:dyDescent="0.3">
      <c r="A9" t="s">
        <v>70</v>
      </c>
      <c r="B9">
        <f t="shared" ca="1" si="0"/>
        <v>9.5471875557630231E-2</v>
      </c>
      <c r="C9">
        <f t="shared" ca="1" si="0"/>
        <v>9.8748407343114283E-2</v>
      </c>
      <c r="E9">
        <f t="shared" ca="1" si="1"/>
        <v>9.5471875557630231E-2</v>
      </c>
      <c r="F9">
        <f t="shared" ca="1" si="2"/>
        <v>0.1942202829007445</v>
      </c>
    </row>
    <row r="10" spans="1:6" x14ac:dyDescent="0.3">
      <c r="A10" t="s">
        <v>71</v>
      </c>
      <c r="B10">
        <f t="shared" ca="1" si="0"/>
        <v>9.5590125273561991E-2</v>
      </c>
      <c r="C10">
        <f t="shared" ca="1" si="0"/>
        <v>1.35765670959764E-2</v>
      </c>
      <c r="E10">
        <f t="shared" ca="1" si="1"/>
        <v>9.5590125273561991E-2</v>
      </c>
      <c r="F10">
        <f t="shared" ca="1" si="2"/>
        <v>0.1091666923695384</v>
      </c>
    </row>
    <row r="11" spans="1:6" x14ac:dyDescent="0.3">
      <c r="A11" t="s">
        <v>72</v>
      </c>
      <c r="B11">
        <f t="shared" ca="1" si="0"/>
        <v>4.2588962797383431E-2</v>
      </c>
      <c r="C11">
        <f t="shared" ca="1" si="0"/>
        <v>9.7133231343923501E-2</v>
      </c>
      <c r="E11">
        <f t="shared" ca="1" si="1"/>
        <v>4.2588962797383431E-2</v>
      </c>
      <c r="F11">
        <f t="shared" ca="1" si="2"/>
        <v>0.13972219414130693</v>
      </c>
    </row>
    <row r="12" spans="1:6" x14ac:dyDescent="0.3">
      <c r="A12" t="s">
        <v>72</v>
      </c>
      <c r="B12">
        <f t="shared" ca="1" si="0"/>
        <v>9.1434516021177276E-2</v>
      </c>
      <c r="C12">
        <f t="shared" ca="1" si="0"/>
        <v>9.7278854363782682E-2</v>
      </c>
      <c r="E12">
        <f t="shared" ca="1" si="1"/>
        <v>9.1434516021177276E-2</v>
      </c>
      <c r="F12">
        <f t="shared" ca="1" si="2"/>
        <v>0.18871337038495994</v>
      </c>
    </row>
    <row r="13" spans="1:6" x14ac:dyDescent="0.3">
      <c r="A13" t="s">
        <v>72</v>
      </c>
      <c r="B13">
        <f t="shared" ca="1" si="0"/>
        <v>3.1434848762603995E-2</v>
      </c>
      <c r="C13">
        <f ca="1">RAND()/10</f>
        <v>7.8855890175334606E-2</v>
      </c>
      <c r="E13">
        <f t="shared" ca="1" si="1"/>
        <v>3.1434848762603995E-2</v>
      </c>
      <c r="F13">
        <f t="shared" ca="1" si="2"/>
        <v>0.1102907389379386</v>
      </c>
    </row>
    <row r="14" spans="1:6" x14ac:dyDescent="0.3">
      <c r="A14" t="s">
        <v>73</v>
      </c>
      <c r="B14">
        <f t="shared" ca="1" si="0"/>
        <v>2.5613978860342279E-2</v>
      </c>
      <c r="C14">
        <f t="shared" ca="1" si="0"/>
        <v>5.5730335471742533E-2</v>
      </c>
      <c r="E14">
        <f t="shared" ca="1" si="1"/>
        <v>2.5613978860342279E-2</v>
      </c>
      <c r="F14">
        <f t="shared" ca="1" si="2"/>
        <v>8.1344314332084805E-2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H27" sqref="H27"/>
    </sheetView>
  </sheetViews>
  <sheetFormatPr defaultColWidth="9.21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2017-10-04T12:16:17Z</dcterms:modified>
</cp:coreProperties>
</file>